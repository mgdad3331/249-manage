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filterPrivacy="1" codeName="ThisWorkbook"/>
  <xr:revisionPtr revIDLastSave="0" documentId="13_ncr:1_{94CB89DA-2E18-49DE-BD3D-FEF267FC85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oice" sheetId="1" r:id="rId1"/>
  </sheets>
  <definedNames>
    <definedName name="_xlnm.Print_Titles" localSheetId="0">Invoice!$13:$13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6" i="1"/>
  <c r="H26" i="1"/>
  <c r="G18" i="1"/>
  <c r="G14" i="1"/>
  <c r="G17" i="1"/>
  <c r="G19" i="1"/>
  <c r="G21" i="1" l="1"/>
  <c r="H21" i="1" l="1"/>
  <c r="H23" i="1" s="1"/>
  <c r="G23" i="1" l="1"/>
  <c r="G25" i="1" s="1"/>
  <c r="J27" i="1"/>
</calcChain>
</file>

<file path=xl/sharedStrings.xml><?xml version="1.0" encoding="utf-8"?>
<sst xmlns="http://schemas.openxmlformats.org/spreadsheetml/2006/main" count="37" uniqueCount="37">
  <si>
    <t>Description</t>
  </si>
  <si>
    <t>Deposit Received</t>
  </si>
  <si>
    <t>Invoice Subtotal</t>
  </si>
  <si>
    <t>Tax Rate</t>
  </si>
  <si>
    <t>Sales Tax</t>
  </si>
  <si>
    <t>Qty</t>
  </si>
  <si>
    <t>Item #</t>
  </si>
  <si>
    <t>INVOICE</t>
  </si>
  <si>
    <t xml:space="preserve"> </t>
  </si>
  <si>
    <t>Bill to:</t>
  </si>
  <si>
    <t>Address:</t>
  </si>
  <si>
    <t>Phone:</t>
  </si>
  <si>
    <t>Fax:</t>
  </si>
  <si>
    <t>Invoice #:</t>
  </si>
  <si>
    <t>Invoice date:</t>
  </si>
  <si>
    <t>1st Floor - 45 Kambiz</t>
  </si>
  <si>
    <t>Al-Muhandiseen Branch</t>
  </si>
  <si>
    <t>Dokki - Giza 12311 - Egypt</t>
  </si>
  <si>
    <t>Unit price
EGP</t>
  </si>
  <si>
    <t>Unit Price
USD</t>
  </si>
  <si>
    <t>رسوم المكتب</t>
  </si>
  <si>
    <t>Total Price 
(EGP)</t>
  </si>
  <si>
    <t>Total Price 
(USD)</t>
  </si>
  <si>
    <t xml:space="preserve"> رسوم التقديم الاولي</t>
  </si>
  <si>
    <t>اجراءات توكيل وتوثيقه من السفارة السودانية والخارجية المصرية</t>
  </si>
  <si>
    <t>T: 0233365113 - Mob: 01055855030</t>
  </si>
  <si>
    <t>رسوم الوافدين</t>
  </si>
  <si>
    <t>USD TOTAL: Two thousand Two hundred and ninety four USD Only</t>
  </si>
  <si>
    <t>EGP TOTAL: Seventeen thousand Two hundred EGP only</t>
  </si>
  <si>
    <t>info@249group.com</t>
  </si>
  <si>
    <t>SDG TOTAL:  Only Three hundred ten thousand SDG Only</t>
  </si>
  <si>
    <t>Unit Price
SDG</t>
  </si>
  <si>
    <t>Total Price
(SDG)</t>
  </si>
  <si>
    <t>24/05/2026</t>
  </si>
  <si>
    <t xml:space="preserve"> استخراج افادة ميلاد وتوثيقها من السفارة السودانية والخارجية المصرية</t>
  </si>
  <si>
    <t>اجراءات توثيق الشهادة الثانوية</t>
  </si>
  <si>
    <t>رسوم تسليم الملف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</si>
</sst>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@\ \ "/>
    <numFmt numFmtId="165" formatCode="#_)"/>
    <numFmt numFmtId="166" formatCode="[&lt;=9999999]###\-####;\(###\)\ ###\-####"/>
    <numFmt numFmtId="167" formatCode="&quot;$&quot;#,##0.00"/>
  </numFmts>
  <fonts count="24" x14ac:knownFonts="1">
    <font>
      <sz val="11"/>
      <color theme="2" tint="-0.749961851863155"/>
      <name val="Garamond"/>
      <family val="2"/>
      <scheme val="minor"/>
    </font>
    <font>
      <b/>
      <sz val="10"/>
      <name val="Arial"/>
      <family val="2"/>
    </font>
    <font>
      <sz val="14"/>
      <color theme="4" tint="-0.24994659260841701"/>
      <name val="Garamond"/>
      <family val="2"/>
      <scheme val="minor"/>
    </font>
    <font>
      <b/>
      <sz val="25"/>
      <color theme="0"/>
      <name val="Tw Cen MT"/>
      <family val="2"/>
      <scheme val="major"/>
    </font>
    <font>
      <sz val="11"/>
      <color theme="2" tint="-0.89996032593768116"/>
      <name val="Garamond"/>
      <family val="2"/>
      <scheme val="minor"/>
    </font>
    <font>
      <b/>
      <sz val="11"/>
      <color theme="1"/>
      <name val="Garamond"/>
      <family val="2"/>
      <scheme val="minor"/>
    </font>
    <font>
      <sz val="11"/>
      <color theme="5" tint="-0.24994659260841701"/>
      <name val="Garamond"/>
      <family val="2"/>
      <scheme val="minor"/>
    </font>
    <font>
      <sz val="11"/>
      <color theme="2" tint="-0.89989928891872917"/>
      <name val="Garamond"/>
      <family val="2"/>
      <scheme val="minor"/>
    </font>
    <font>
      <sz val="11"/>
      <color theme="2" tint="-0.749992370372631"/>
      <name val="Garamond"/>
      <family val="2"/>
      <scheme val="minor"/>
    </font>
    <font>
      <sz val="11"/>
      <color theme="4" tint="-0.499984740745262"/>
      <name val="Tw Cen MT"/>
      <family val="2"/>
      <scheme val="major"/>
    </font>
    <font>
      <sz val="11"/>
      <color theme="2" tint="-0.749961851863155"/>
      <name val="Garamond"/>
      <family val="2"/>
      <scheme val="minor"/>
    </font>
    <font>
      <sz val="11"/>
      <color theme="3"/>
      <name val="Garamond"/>
      <family val="2"/>
      <scheme val="minor"/>
    </font>
    <font>
      <sz val="11"/>
      <name val="Garamond"/>
      <family val="2"/>
      <scheme val="minor"/>
    </font>
    <font>
      <sz val="11"/>
      <color theme="4" tint="-0.499984740745262"/>
      <name val="Garamond"/>
      <family val="2"/>
      <scheme val="minor"/>
    </font>
    <font>
      <sz val="12"/>
      <color theme="2" tint="-0.749961851863155"/>
      <name val="Calibri"/>
      <family val="2"/>
    </font>
    <font>
      <sz val="36"/>
      <color theme="2" tint="-0.89996032593768116"/>
      <name val="Calibri"/>
      <family val="2"/>
    </font>
    <font>
      <b/>
      <sz val="48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2" tint="-0.89996032593768116"/>
      <name val="Calibri"/>
      <family val="2"/>
    </font>
    <font>
      <sz val="12"/>
      <name val="Calibri"/>
      <family val="2"/>
    </font>
    <font>
      <sz val="12"/>
      <color rgb="FF2C4D78"/>
      <name val="Calibri"/>
      <family val="2"/>
    </font>
    <font>
      <b/>
      <sz val="12"/>
      <color rgb="FF2C4D7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 style="thin">
        <color theme="2" tint="-0.89996032593768116"/>
      </left>
      <right style="thin">
        <color theme="2" tint="-0.89996032593768116"/>
      </right>
      <top style="thin">
        <color theme="2" tint="-0.89996032593768116"/>
      </top>
      <bottom style="thin">
        <color theme="2" tint="-0.8999603259376811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89996032593768116"/>
      </left>
      <right style="thin">
        <color theme="2" tint="-0.89996032593768116"/>
      </right>
      <top/>
      <bottom style="thin">
        <color theme="2" tint="-0.89996032593768116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0.89996032593768116"/>
      </left>
      <right/>
      <top style="thin">
        <color theme="2" tint="-0.89996032593768116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2" tint="-0.8999603259376811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89996032593768116"/>
      </left>
      <right style="thin">
        <color theme="2" tint="-0.89996032593768116"/>
      </right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4" fillId="0" borderId="0" applyNumberFormat="0" applyFill="0" applyBorder="0" applyAlignment="0" applyProtection="0"/>
    <xf numFmtId="0" fontId="9" fillId="0" borderId="0" applyNumberFormat="0" applyFill="0" applyBorder="0" applyProtection="0">
      <alignment vertical="center"/>
    </xf>
    <xf numFmtId="0" fontId="2" fillId="0" borderId="0" applyNumberFormat="0" applyFill="0" applyBorder="0" applyProtection="0">
      <alignment horizontal="left" vertical="center" indent="1"/>
    </xf>
    <xf numFmtId="10" fontId="11" fillId="0" borderId="0" applyFill="0" applyBorder="0" applyProtection="0">
      <alignment horizontal="right" vertical="center"/>
    </xf>
    <xf numFmtId="0" fontId="4" fillId="0" borderId="0" applyNumberFormat="0" applyFill="0" applyBorder="0" applyAlignment="0" applyProtection="0">
      <alignment vertical="top" wrapText="1"/>
    </xf>
    <xf numFmtId="0" fontId="3" fillId="3" borderId="2" applyProtection="0">
      <alignment vertical="center"/>
    </xf>
    <xf numFmtId="0" fontId="4" fillId="2" borderId="0" applyNumberFormat="0" applyBorder="0" applyProtection="0">
      <alignment vertical="center" wrapText="1"/>
    </xf>
    <xf numFmtId="0" fontId="12" fillId="0" borderId="1" applyFill="0" applyProtection="0">
      <alignment horizontal="right" vertical="center" indent="1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1" applyNumberFormat="0" applyAlignment="0" applyProtection="0"/>
    <xf numFmtId="0" fontId="4" fillId="5" borderId="0" applyBorder="0" applyProtection="0">
      <alignment horizontal="left" indent="1"/>
    </xf>
    <xf numFmtId="44" fontId="10" fillId="0" borderId="0" applyFont="0" applyFill="0" applyBorder="0" applyProtection="0">
      <alignment horizontal="right" vertical="center"/>
    </xf>
    <xf numFmtId="44" fontId="11" fillId="0" borderId="0" applyFill="0" applyBorder="0" applyProtection="0">
      <alignment horizontal="right" vertical="center"/>
    </xf>
    <xf numFmtId="0" fontId="13" fillId="4" borderId="0" applyNumberFormat="0" applyBorder="0" applyProtection="0">
      <alignment horizontal="left" vertical="top" wrapText="1" indent="1"/>
    </xf>
    <xf numFmtId="166" fontId="4" fillId="0" borderId="0" applyFont="0" applyFill="0" applyBorder="0" applyAlignment="0">
      <alignment vertical="center"/>
    </xf>
    <xf numFmtId="165" fontId="10" fillId="0" borderId="0" applyFont="0" applyFill="0" applyBorder="0">
      <alignment horizontal="right" vertical="center"/>
    </xf>
    <xf numFmtId="14" fontId="8" fillId="0" borderId="0" applyFont="0" applyFill="0" applyBorder="0" applyAlignment="0" applyProtection="0">
      <alignment horizontal="left" wrapText="1"/>
    </xf>
  </cellStyleXfs>
  <cellXfs count="77">
    <xf numFmtId="0" fontId="0" fillId="0" borderId="0" xfId="0">
      <alignment horizontal="left" vertical="center" wrapText="1" indent="1"/>
    </xf>
    <xf numFmtId="0" fontId="14" fillId="0" borderId="0" xfId="0" applyFont="1" applyFill="1">
      <alignment horizontal="left" vertical="center" wrapText="1" indent="1"/>
    </xf>
    <xf numFmtId="0" fontId="16" fillId="0" borderId="0" xfId="6" applyFont="1" applyFill="1" applyBorder="1" applyAlignment="1" applyProtection="1">
      <alignment horizontal="right"/>
    </xf>
    <xf numFmtId="0" fontId="17" fillId="0" borderId="0" xfId="6" applyFont="1" applyFill="1" applyBorder="1" applyAlignment="1" applyProtection="1">
      <alignment vertical="top" wrapText="1"/>
    </xf>
    <xf numFmtId="0" fontId="18" fillId="0" borderId="0" xfId="1" applyFont="1" applyFill="1" applyAlignment="1">
      <alignment horizontal="right" vertical="center" wrapText="1" indent="2"/>
    </xf>
    <xf numFmtId="0" fontId="19" fillId="0" borderId="0" xfId="7" applyFont="1" applyFill="1" applyAlignment="1">
      <alignment horizontal="left" vertical="center" wrapText="1"/>
    </xf>
    <xf numFmtId="0" fontId="20" fillId="0" borderId="0" xfId="7" applyFont="1" applyFill="1" applyProtection="1">
      <alignment vertical="center" wrapText="1"/>
    </xf>
    <xf numFmtId="0" fontId="18" fillId="0" borderId="0" xfId="1" applyFont="1" applyFill="1" applyBorder="1" applyAlignment="1">
      <alignment horizontal="right" vertical="center" wrapText="1" indent="2"/>
    </xf>
    <xf numFmtId="14" fontId="19" fillId="0" borderId="0" xfId="7" applyNumberFormat="1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right" vertical="center" wrapText="1" indent="2"/>
    </xf>
    <xf numFmtId="14" fontId="19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>
      <alignment horizontal="left" vertical="center" wrapText="1" indent="1"/>
    </xf>
    <xf numFmtId="0" fontId="18" fillId="0" borderId="0" xfId="1" applyFont="1" applyFill="1" applyAlignment="1">
      <alignment vertical="center" wrapText="1"/>
    </xf>
    <xf numFmtId="0" fontId="19" fillId="0" borderId="0" xfId="7" applyFont="1" applyFill="1">
      <alignment vertical="center" wrapText="1"/>
    </xf>
    <xf numFmtId="0" fontId="19" fillId="0" borderId="0" xfId="2" applyFont="1" applyFill="1" applyAlignment="1" applyProtection="1">
      <alignment horizontal="left" vertical="top" indent="1"/>
    </xf>
    <xf numFmtId="166" fontId="19" fillId="0" borderId="0" xfId="2" applyNumberFormat="1" applyFont="1" applyFill="1">
      <alignment vertical="center"/>
    </xf>
    <xf numFmtId="0" fontId="18" fillId="0" borderId="0" xfId="0" applyFont="1" applyFill="1" applyAlignment="1">
      <alignment horizontal="right" indent="2"/>
    </xf>
    <xf numFmtId="0" fontId="19" fillId="0" borderId="0" xfId="2" applyFont="1" applyFill="1" applyProtection="1">
      <alignment vertical="center"/>
    </xf>
    <xf numFmtId="0" fontId="18" fillId="0" borderId="0" xfId="0" applyFont="1" applyFill="1" applyAlignment="1">
      <alignment horizontal="right" wrapText="1" indent="2"/>
    </xf>
    <xf numFmtId="0" fontId="19" fillId="0" borderId="0" xfId="0" applyFont="1" applyFill="1" applyAlignment="1">
      <alignment horizontal="left" wrapText="1"/>
    </xf>
    <xf numFmtId="0" fontId="21" fillId="0" borderId="0" xfId="0" applyFont="1" applyFill="1" applyAlignment="1">
      <alignment wrapText="1"/>
    </xf>
    <xf numFmtId="0" fontId="19" fillId="0" borderId="0" xfId="2" applyFont="1" applyFill="1" applyAlignment="1" applyProtection="1">
      <alignment vertical="top"/>
    </xf>
    <xf numFmtId="14" fontId="19" fillId="0" borderId="0" xfId="18" applyFont="1" applyFill="1" applyAlignment="1">
      <alignment vertical="center"/>
    </xf>
    <xf numFmtId="0" fontId="19" fillId="0" borderId="0" xfId="0" applyFont="1" applyFill="1" applyAlignment="1">
      <alignment vertical="center" wrapText="1"/>
    </xf>
    <xf numFmtId="0" fontId="19" fillId="0" borderId="0" xfId="1" applyFont="1" applyFill="1" applyAlignment="1" applyProtection="1">
      <alignment horizontal="left" vertical="top" indent="1"/>
    </xf>
    <xf numFmtId="0" fontId="19" fillId="0" borderId="0" xfId="0" applyFont="1" applyFill="1" applyBorder="1">
      <alignment horizontal="left" vertical="center" wrapText="1" indent="1"/>
    </xf>
    <xf numFmtId="0" fontId="19" fillId="0" borderId="0" xfId="0" applyFont="1" applyFill="1">
      <alignment horizontal="left" vertical="center" wrapText="1" indent="1"/>
    </xf>
    <xf numFmtId="0" fontId="19" fillId="0" borderId="3" xfId="8" applyFont="1" applyFill="1" applyBorder="1">
      <alignment horizontal="right" vertical="center" indent="1"/>
    </xf>
    <xf numFmtId="10" fontId="19" fillId="0" borderId="3" xfId="4" applyFont="1" applyFill="1" applyBorder="1" applyAlignment="1">
      <alignment horizontal="right" vertical="center" indent="1"/>
    </xf>
    <xf numFmtId="0" fontId="19" fillId="0" borderId="0" xfId="12" applyFont="1" applyFill="1" applyAlignment="1" applyProtection="1"/>
    <xf numFmtId="0" fontId="19" fillId="0" borderId="0" xfId="12" applyFont="1" applyFill="1" applyBorder="1" applyAlignment="1" applyProtection="1"/>
    <xf numFmtId="0" fontId="19" fillId="0" borderId="5" xfId="8" applyFont="1" applyFill="1" applyBorder="1">
      <alignment horizontal="right" vertical="center" indent="1"/>
    </xf>
    <xf numFmtId="167" fontId="14" fillId="0" borderId="4" xfId="13" applyNumberFormat="1" applyFont="1" applyFill="1" applyBorder="1" applyAlignment="1" applyProtection="1">
      <alignment horizontal="right" vertical="center" indent="1"/>
    </xf>
    <xf numFmtId="0" fontId="14" fillId="0" borderId="4" xfId="0" applyFont="1" applyFill="1" applyBorder="1" applyAlignment="1">
      <alignment horizontal="right" vertical="center" wrapText="1" indent="1"/>
    </xf>
    <xf numFmtId="4" fontId="14" fillId="0" borderId="4" xfId="13" applyNumberFormat="1" applyFont="1" applyFill="1" applyBorder="1" applyAlignment="1" applyProtection="1">
      <alignment horizontal="right" vertical="center" indent="1"/>
    </xf>
    <xf numFmtId="0" fontId="22" fillId="6" borderId="4" xfId="0" applyFont="1" applyFill="1" applyBorder="1" applyAlignment="1">
      <alignment horizontal="center" vertical="center" wrapText="1"/>
    </xf>
    <xf numFmtId="0" fontId="14" fillId="0" borderId="4" xfId="0" applyFont="1" applyFill="1" applyBorder="1">
      <alignment horizontal="left" vertical="center" wrapText="1" indent="1"/>
    </xf>
    <xf numFmtId="165" fontId="14" fillId="0" borderId="4" xfId="17" applyFont="1" applyFill="1" applyBorder="1" applyAlignment="1">
      <alignment horizontal="center" vertical="center"/>
    </xf>
    <xf numFmtId="4" fontId="21" fillId="7" borderId="4" xfId="13" applyNumberFormat="1" applyFont="1" applyFill="1" applyBorder="1" applyAlignment="1">
      <alignment horizontal="right" vertical="center" indent="1"/>
    </xf>
    <xf numFmtId="0" fontId="19" fillId="0" borderId="4" xfId="8" applyFont="1" applyFill="1" applyBorder="1">
      <alignment horizontal="right" vertical="center" indent="1"/>
    </xf>
    <xf numFmtId="4" fontId="19" fillId="0" borderId="4" xfId="13" applyNumberFormat="1" applyFont="1" applyFill="1" applyBorder="1" applyAlignment="1">
      <alignment horizontal="right" vertical="center" indent="1"/>
    </xf>
    <xf numFmtId="0" fontId="23" fillId="8" borderId="4" xfId="0" applyFont="1" applyFill="1" applyBorder="1" applyAlignment="1">
      <alignment horizontal="center" vertical="center" wrapText="1"/>
    </xf>
    <xf numFmtId="4" fontId="23" fillId="9" borderId="4" xfId="13" applyNumberFormat="1" applyFont="1" applyFill="1" applyBorder="1" applyAlignment="1" applyProtection="1">
      <alignment horizontal="right" vertical="center" indent="1"/>
    </xf>
    <xf numFmtId="0" fontId="22" fillId="9" borderId="4" xfId="0" applyFont="1" applyFill="1" applyBorder="1" applyAlignment="1">
      <alignment horizontal="center" vertical="center" wrapText="1"/>
    </xf>
    <xf numFmtId="164" fontId="23" fillId="6" borderId="7" xfId="11" applyNumberFormat="1" applyFont="1" applyFill="1" applyBorder="1" applyAlignment="1" applyProtection="1">
      <alignment horizontal="left" vertical="center"/>
    </xf>
    <xf numFmtId="164" fontId="23" fillId="6" borderId="8" xfId="11" applyNumberFormat="1" applyFont="1" applyFill="1" applyBorder="1" applyAlignment="1" applyProtection="1">
      <alignment horizontal="left" vertical="center"/>
    </xf>
    <xf numFmtId="0" fontId="14" fillId="0" borderId="6" xfId="0" applyFont="1" applyFill="1" applyBorder="1">
      <alignment horizontal="left" vertical="center" wrapText="1" indent="1"/>
    </xf>
    <xf numFmtId="4" fontId="14" fillId="0" borderId="7" xfId="13" applyNumberFormat="1" applyFont="1" applyFill="1" applyBorder="1" applyAlignment="1" applyProtection="1">
      <alignment horizontal="right" vertical="center" indent="1"/>
    </xf>
    <xf numFmtId="4" fontId="19" fillId="0" borderId="0" xfId="13" applyNumberFormat="1" applyFont="1" applyFill="1" applyBorder="1" applyAlignment="1">
      <alignment horizontal="right" vertical="center" indent="1"/>
    </xf>
    <xf numFmtId="0" fontId="19" fillId="0" borderId="9" xfId="8" applyFont="1" applyFill="1" applyBorder="1">
      <alignment horizontal="right" vertical="center" indent="1"/>
    </xf>
    <xf numFmtId="0" fontId="4" fillId="0" borderId="0" xfId="1" applyFill="1" applyAlignment="1" applyProtection="1">
      <alignment horizontal="left" vertical="center" indent="1"/>
    </xf>
    <xf numFmtId="4" fontId="14" fillId="7" borderId="4" xfId="13" applyNumberFormat="1" applyFont="1" applyFill="1" applyBorder="1" applyAlignment="1" applyProtection="1">
      <alignment horizontal="right" vertical="center" indent="1"/>
    </xf>
    <xf numFmtId="4" fontId="19" fillId="0" borderId="14" xfId="13" applyNumberFormat="1" applyFont="1" applyFill="1" applyBorder="1" applyAlignment="1">
      <alignment horizontal="right" vertical="center" indent="1"/>
    </xf>
    <xf numFmtId="0" fontId="23" fillId="10" borderId="4" xfId="0" applyFont="1" applyFill="1" applyBorder="1" applyAlignment="1">
      <alignment horizontal="center" vertical="center" wrapText="1"/>
    </xf>
    <xf numFmtId="0" fontId="14" fillId="7" borderId="4" xfId="0" applyFont="1" applyFill="1" applyBorder="1">
      <alignment horizontal="left" vertical="center" wrapText="1" indent="1"/>
    </xf>
    <xf numFmtId="4" fontId="21" fillId="7" borderId="15" xfId="13" applyNumberFormat="1" applyFont="1" applyFill="1" applyBorder="1" applyAlignment="1">
      <alignment horizontal="right" vertical="center" indent="1"/>
    </xf>
    <xf numFmtId="4" fontId="23" fillId="8" borderId="15" xfId="13" applyNumberFormat="1" applyFont="1" applyFill="1" applyBorder="1" applyAlignment="1" applyProtection="1">
      <alignment horizontal="right" vertical="center" indent="1"/>
    </xf>
    <xf numFmtId="4" fontId="23" fillId="6" borderId="8" xfId="13" applyNumberFormat="1" applyFont="1" applyFill="1" applyBorder="1" applyAlignment="1" applyProtection="1">
      <alignment horizontal="center" vertical="center"/>
    </xf>
    <xf numFmtId="164" fontId="23" fillId="6" borderId="11" xfId="11" applyNumberFormat="1" applyFont="1" applyFill="1" applyBorder="1" applyAlignment="1" applyProtection="1">
      <alignment horizontal="left" vertical="center"/>
    </xf>
    <xf numFmtId="164" fontId="23" fillId="6" borderId="10" xfId="11" applyNumberFormat="1" applyFont="1" applyFill="1" applyBorder="1" applyAlignment="1" applyProtection="1">
      <alignment horizontal="left" vertical="center"/>
    </xf>
    <xf numFmtId="0" fontId="14" fillId="0" borderId="10" xfId="0" applyFont="1" applyFill="1" applyBorder="1">
      <alignment horizontal="left" vertical="center" wrapText="1" indent="1"/>
    </xf>
    <xf numFmtId="0" fontId="14" fillId="6" borderId="6" xfId="0" applyFont="1" applyFill="1" applyBorder="1" applyAlignment="1">
      <alignment horizontal="center" vertical="center" wrapText="1"/>
    </xf>
    <xf numFmtId="4" fontId="19" fillId="0" borderId="12" xfId="13" applyNumberFormat="1" applyFont="1" applyFill="1" applyBorder="1" applyAlignment="1">
      <alignment horizontal="right" vertical="center" indent="1"/>
    </xf>
    <xf numFmtId="4" fontId="14" fillId="7" borderId="13" xfId="13" applyNumberFormat="1" applyFont="1" applyFill="1" applyBorder="1" applyAlignment="1" applyProtection="1">
      <alignment horizontal="right" vertical="center" indent="1"/>
    </xf>
    <xf numFmtId="0" fontId="19" fillId="7" borderId="4" xfId="0" applyFont="1" applyFill="1" applyBorder="1">
      <alignment horizontal="left" vertical="center" wrapText="1" indent="1"/>
    </xf>
    <xf numFmtId="4" fontId="19" fillId="0" borderId="9" xfId="13" applyNumberFormat="1" applyFont="1" applyFill="1" applyBorder="1" applyAlignment="1">
      <alignment horizontal="right" vertical="center" indent="1"/>
    </xf>
    <xf numFmtId="10" fontId="19" fillId="0" borderId="16" xfId="4" applyFont="1" applyFill="1" applyBorder="1" applyAlignment="1">
      <alignment horizontal="right" vertical="center" indent="1"/>
    </xf>
    <xf numFmtId="167" fontId="21" fillId="7" borderId="4" xfId="13" applyNumberFormat="1" applyFont="1" applyFill="1" applyBorder="1" applyAlignment="1">
      <alignment horizontal="right" vertical="center" indent="1"/>
    </xf>
    <xf numFmtId="0" fontId="19" fillId="0" borderId="0" xfId="0" applyFont="1" applyFill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5" fillId="0" borderId="0" xfId="7" applyFont="1" applyFill="1" applyBorder="1">
      <alignment vertical="center" wrapText="1"/>
    </xf>
    <xf numFmtId="14" fontId="19" fillId="0" borderId="0" xfId="18" applyFont="1" applyFill="1" applyAlignment="1">
      <alignment horizontal="left" vertical="center" wrapText="1"/>
    </xf>
    <xf numFmtId="1" fontId="19" fillId="0" borderId="0" xfId="0" applyNumberFormat="1" applyFont="1" applyFill="1" applyAlignment="1">
      <alignment horizontal="left" wrapText="1"/>
    </xf>
    <xf numFmtId="164" fontId="23" fillId="6" borderId="7" xfId="11" applyNumberFormat="1" applyFont="1" applyFill="1" applyBorder="1" applyAlignment="1" applyProtection="1">
      <alignment horizontal="left" vertical="center"/>
    </xf>
    <xf numFmtId="164" fontId="23" fillId="6" borderId="8" xfId="11" applyNumberFormat="1" applyFont="1" applyFill="1" applyBorder="1" applyAlignment="1" applyProtection="1">
      <alignment horizontal="left" vertical="center"/>
    </xf>
    <xf numFmtId="164" fontId="23" fillId="6" borderId="6" xfId="11" applyNumberFormat="1" applyFont="1" applyFill="1" applyBorder="1" applyAlignment="1" applyProtection="1">
      <alignment horizontal="left" vertical="center"/>
    </xf>
  </cellXfs>
  <cellStyles count="19">
    <cellStyle name="20% - Accent1" xfId="15" builtinId="30" customBuiltin="1"/>
    <cellStyle name="60% - Accent1" xfId="7" builtinId="32" customBuiltin="1"/>
    <cellStyle name="Currency" xfId="13" builtinId="4" customBuiltin="1"/>
    <cellStyle name="Currency [0]" xfId="14" builtinId="7" customBuiltin="1"/>
    <cellStyle name="Date" xfId="18" xr:uid="{00000000-0005-0000-0000-000004000000}"/>
    <cellStyle name="Explanatory Text" xfId="10" builtinId="53" customBuiltin="1"/>
    <cellStyle name="Followed Hyperlink" xfId="5" builtinId="9" customBuiltin="1"/>
    <cellStyle name="Heading 1" xfId="2" builtinId="16" customBuiltin="1"/>
    <cellStyle name="Heading 2" xfId="3" builtinId="17" customBuiltin="1"/>
    <cellStyle name="Heading 3" xfId="8" builtinId="18" customBuiltin="1"/>
    <cellStyle name="Heading 4" xfId="12" builtinId="19" customBuiltin="1"/>
    <cellStyle name="Hyperlink" xfId="1" builtinId="8" customBuiltin="1"/>
    <cellStyle name="Normal" xfId="0" builtinId="0" customBuiltin="1"/>
    <cellStyle name="Percent" xfId="4" builtinId="5" customBuiltin="1"/>
    <cellStyle name="Phone" xfId="16" xr:uid="{00000000-0005-0000-0000-00000E000000}"/>
    <cellStyle name="Quantity" xfId="17" xr:uid="{00000000-0005-0000-0000-00000F000000}"/>
    <cellStyle name="Title" xfId="6" builtinId="15" customBuiltin="1"/>
    <cellStyle name="Total" xfId="11" builtinId="25" customBuiltin="1"/>
    <cellStyle name="Warning Text" xfId="9" builtinId="11" customBuiltin="1"/>
  </cellStyles>
  <dxfs count="15">
    <dxf>
      <font>
        <strike val="0"/>
        <outline val="0"/>
        <shadow val="0"/>
        <u val="none"/>
        <vertAlign val="baseline"/>
        <sz val="12"/>
        <color theme="2" tint="-0.749961851863155"/>
        <name val="Calibri"/>
        <family val="2"/>
        <scheme val="none"/>
      </font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2" tint="-0.749961851863155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2" tint="-0.749961851863155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749961851863155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749961851863155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1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749961851863155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2" tint="-0.749961851863155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2C4D78"/>
        <name val="Calibri"/>
        <family val="2"/>
        <scheme val="none"/>
      </font>
      <fill>
        <patternFill patternType="solid">
          <fgColor indexed="64"/>
          <bgColor rgb="FFFF99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/>
        <i val="0"/>
        <strike val="0"/>
        <color theme="2"/>
      </font>
      <fill>
        <patternFill>
          <bgColor theme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color auto="1"/>
      </font>
      <fill>
        <patternFill>
          <bgColor theme="3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Invoice" defaultPivotStyle="PivotStyleLight16">
    <tableStyle name="Invoice" pivot="0" count="4" xr9:uid="{00000000-0011-0000-FFFF-FFFF00000000}">
      <tableStyleElement type="wholeTable" dxfId="14"/>
      <tableStyleElement type="headerRow" dxfId="13"/>
      <tableStyleElement type="totalRow" dxfId="12"/>
      <tableStyleElement type="firstColumn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9900"/>
      <color rgb="FF2C4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114301</xdr:rowOff>
    </xdr:from>
    <xdr:to>
      <xdr:col>2</xdr:col>
      <xdr:colOff>3034323</xdr:colOff>
      <xdr:row>5</xdr:row>
      <xdr:rowOff>719823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187696-44AC-FC31-2339-79BE27A38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1" y="114301"/>
          <a:ext cx="3618522" cy="256132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impleInvoice" displayName="SimpleInvoice" ref="B13:G20" totalsRowShown="0" headerRowDxfId="10" dataDxfId="8" headerRowBorderDxfId="9" tableBorderDxfId="7" totalsRowBorderDxfId="6">
  <autoFilter ref="B13:G20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Item #" dataDxfId="5"/>
    <tableColumn id="2" xr3:uid="{00000000-0010-0000-0000-000002000000}" name="Description" dataDxfId="4"/>
    <tableColumn id="7" xr3:uid="{00000000-0010-0000-0000-000007000000}" name="Qty" dataDxfId="3"/>
    <tableColumn id="8" xr3:uid="{00000000-0010-0000-0000-000008000000}" name="Unit price_x000a_EGP" dataDxfId="2"/>
    <tableColumn id="10" xr3:uid="{00000000-0010-0000-0000-00000A000000}" name="Unit Price_x000a_USD" dataDxfId="1"/>
    <tableColumn id="11" xr3:uid="{00000000-0010-0000-0000-00000B000000}" name="Total Price _x000a_(EGP)" dataDxfId="0">
      <calculatedColumnFormula>SimpleInvoice[[#This Row],[Qty]]*SimpleInvoice[[#This Row],[Unit price
EGP]]</calculatedColumnFormula>
    </tableColumn>
  </tableColumns>
  <tableStyleInfo name="Invoice" showFirstColumn="1" showLastColumn="0" showRowStripes="0" showColumnStripes="0"/>
  <extLst>
    <ext xmlns:x14="http://schemas.microsoft.com/office/spreadsheetml/2009/9/main" uri="{504A1905-F514-4f6f-8877-14C23A59335A}">
      <x14:table altTextSummary="Invoice list with item #, description, quantity, unit price, discount and price"/>
    </ext>
  </extLst>
</table>
</file>

<file path=xl/theme/theme1.xml><?xml version="1.0" encoding="utf-8"?>
<a:theme xmlns:a="http://schemas.openxmlformats.org/drawingml/2006/main" name="Office Theme">
  <a:themeElements>
    <a:clrScheme name="TM03987161">
      <a:dk1>
        <a:srgbClr val="000000"/>
      </a:dk1>
      <a:lt1>
        <a:srgbClr val="FFFFFF"/>
      </a:lt1>
      <a:dk2>
        <a:srgbClr val="DDF4F9"/>
      </a:dk2>
      <a:lt2>
        <a:srgbClr val="E7E6E6"/>
      </a:lt2>
      <a:accent1>
        <a:srgbClr val="2DA2BF"/>
      </a:accent1>
      <a:accent2>
        <a:srgbClr val="D91F27"/>
      </a:accent2>
      <a:accent3>
        <a:srgbClr val="EB631A"/>
      </a:accent3>
      <a:accent4>
        <a:srgbClr val="39639D"/>
      </a:accent4>
      <a:accent5>
        <a:srgbClr val="474B78"/>
      </a:accent5>
      <a:accent6>
        <a:srgbClr val="7D3C49"/>
      </a:accent6>
      <a:hlink>
        <a:srgbClr val="0563C1"/>
      </a:hlink>
      <a:folHlink>
        <a:srgbClr val="954F72"/>
      </a:folHlink>
    </a:clrScheme>
    <a:fontScheme name="Custom 34">
      <a:majorFont>
        <a:latin typeface="Tw Cen MT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249group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499984740745262"/>
    <pageSetUpPr autoPageBreaks="0" fitToPage="1"/>
  </sheetPr>
  <dimension ref="B1:M29"/>
  <sheetViews>
    <sheetView showGridLines="0" tabSelected="1" topLeftCell="A14" zoomScale="90" zoomScaleNormal="90" workbookViewId="0">
      <selection activeCell="F21" sqref="F21"/>
    </sheetView>
  </sheetViews>
  <sheetFormatPr defaultColWidth="9" defaultRowHeight="33.9" customHeight="1" x14ac:dyDescent="0.35"/>
  <cols>
    <col min="1" max="1" width="8.19921875" style="1" customWidth="1"/>
    <col min="2" max="2" width="9.19921875" style="1" customWidth="1"/>
    <col min="3" max="3" width="62.09765625" style="1" customWidth="1"/>
    <col min="4" max="4" width="11" style="1" customWidth="1"/>
    <col min="5" max="5" width="18.59765625" style="1" customWidth="1"/>
    <col min="6" max="6" width="18" style="1" customWidth="1"/>
    <col min="7" max="7" width="18.59765625" style="1" customWidth="1"/>
    <col min="8" max="8" width="16.59765625" style="1" customWidth="1"/>
    <col min="9" max="9" width="18.59765625" style="1" customWidth="1"/>
    <col min="10" max="10" width="17.09765625" style="1" customWidth="1"/>
    <col min="11" max="16384" width="9" style="1"/>
  </cols>
  <sheetData>
    <row r="1" spans="2:13" ht="50.15" customHeight="1" x14ac:dyDescent="0.35"/>
    <row r="2" spans="2:13" ht="57.9" customHeight="1" x14ac:dyDescent="1.35">
      <c r="B2" s="71" t="s">
        <v>8</v>
      </c>
      <c r="C2" s="71"/>
      <c r="D2" s="71"/>
      <c r="E2" s="71"/>
      <c r="F2" s="2"/>
      <c r="G2" s="2" t="s">
        <v>7</v>
      </c>
      <c r="H2" s="3"/>
    </row>
    <row r="3" spans="2:13" ht="15.9" customHeight="1" x14ac:dyDescent="0.35">
      <c r="B3" s="71"/>
      <c r="C3" s="71"/>
      <c r="D3" s="71"/>
      <c r="E3" s="71"/>
      <c r="F3" s="4" t="s">
        <v>13</v>
      </c>
      <c r="G3" s="5"/>
      <c r="H3" s="6"/>
    </row>
    <row r="4" spans="2:13" ht="15.9" customHeight="1" x14ac:dyDescent="0.35">
      <c r="B4" s="71"/>
      <c r="C4" s="71"/>
      <c r="D4" s="71"/>
      <c r="E4" s="71"/>
      <c r="F4" s="7" t="s">
        <v>14</v>
      </c>
      <c r="G4" s="8" t="s">
        <v>33</v>
      </c>
      <c r="H4" s="6"/>
    </row>
    <row r="5" spans="2:13" ht="15.9" customHeight="1" x14ac:dyDescent="0.35">
      <c r="B5" s="71"/>
      <c r="C5" s="71"/>
      <c r="D5" s="71"/>
      <c r="E5" s="71"/>
      <c r="F5" s="9"/>
      <c r="G5" s="10"/>
      <c r="H5" s="11"/>
    </row>
    <row r="6" spans="2:13" ht="60" customHeight="1" x14ac:dyDescent="0.35">
      <c r="B6" s="71"/>
      <c r="C6" s="71"/>
      <c r="D6" s="71"/>
      <c r="E6" s="71"/>
      <c r="F6" s="12"/>
      <c r="G6" s="13"/>
      <c r="H6" s="6"/>
    </row>
    <row r="7" spans="2:13" ht="15.9" customHeight="1" x14ac:dyDescent="0.35">
      <c r="B7" s="14" t="s">
        <v>16</v>
      </c>
      <c r="C7" s="14"/>
      <c r="D7" s="15"/>
      <c r="E7" s="15"/>
      <c r="F7" s="16" t="s">
        <v>9</v>
      </c>
      <c r="G7" s="72"/>
      <c r="H7" s="72"/>
      <c r="I7" s="72"/>
      <c r="J7" s="72"/>
      <c r="K7" s="72"/>
      <c r="L7" s="72"/>
      <c r="M7" s="72"/>
    </row>
    <row r="8" spans="2:13" ht="15.9" customHeight="1" x14ac:dyDescent="0.35">
      <c r="B8" s="14" t="s">
        <v>15</v>
      </c>
      <c r="C8" s="14"/>
      <c r="D8" s="17"/>
      <c r="E8" s="17"/>
      <c r="F8" s="18" t="s">
        <v>10</v>
      </c>
      <c r="G8" s="19"/>
      <c r="H8" s="20"/>
      <c r="I8" s="17"/>
    </row>
    <row r="9" spans="2:13" ht="15.9" customHeight="1" x14ac:dyDescent="0.35">
      <c r="B9" s="14" t="s">
        <v>17</v>
      </c>
      <c r="C9" s="21"/>
      <c r="D9" s="15"/>
      <c r="E9" s="15"/>
      <c r="F9" s="16"/>
      <c r="G9" s="22"/>
      <c r="H9" s="20"/>
      <c r="I9" s="15"/>
    </row>
    <row r="10" spans="2:13" ht="15.9" customHeight="1" x14ac:dyDescent="0.35">
      <c r="B10" s="14" t="s">
        <v>25</v>
      </c>
      <c r="C10" s="14"/>
      <c r="D10" s="17"/>
      <c r="E10" s="17"/>
      <c r="F10" s="18" t="s">
        <v>11</v>
      </c>
      <c r="G10" s="73"/>
      <c r="H10" s="73"/>
      <c r="I10" s="73"/>
      <c r="J10" s="73"/>
      <c r="K10" s="73"/>
      <c r="L10" s="73"/>
    </row>
    <row r="11" spans="2:13" ht="15.9" customHeight="1" x14ac:dyDescent="0.35">
      <c r="B11" s="50" t="s">
        <v>29</v>
      </c>
      <c r="C11" s="17"/>
      <c r="D11" s="15"/>
      <c r="E11" s="15"/>
      <c r="F11" s="16" t="s">
        <v>12</v>
      </c>
      <c r="G11" s="23"/>
      <c r="H11" s="20"/>
      <c r="I11" s="15"/>
    </row>
    <row r="12" spans="2:13" ht="60.9" customHeight="1" x14ac:dyDescent="0.35">
      <c r="B12" s="24"/>
      <c r="C12" s="25"/>
      <c r="D12" s="25"/>
      <c r="E12" s="25"/>
      <c r="F12" s="25"/>
      <c r="G12" s="25"/>
      <c r="H12" s="11"/>
      <c r="I12" s="25"/>
    </row>
    <row r="13" spans="2:13" ht="32.5" customHeight="1" x14ac:dyDescent="0.35">
      <c r="B13" s="35" t="s">
        <v>6</v>
      </c>
      <c r="C13" s="35" t="s">
        <v>0</v>
      </c>
      <c r="D13" s="35" t="s">
        <v>5</v>
      </c>
      <c r="E13" s="35" t="s">
        <v>18</v>
      </c>
      <c r="F13" s="35" t="s">
        <v>19</v>
      </c>
      <c r="G13" s="43" t="s">
        <v>21</v>
      </c>
      <c r="H13" s="41" t="s">
        <v>22</v>
      </c>
      <c r="I13" s="53" t="s">
        <v>31</v>
      </c>
      <c r="J13" s="53" t="s">
        <v>32</v>
      </c>
    </row>
    <row r="14" spans="2:13" ht="26.15" customHeight="1" x14ac:dyDescent="0.35">
      <c r="B14" s="36">
        <v>1</v>
      </c>
      <c r="C14" s="33" t="s">
        <v>24</v>
      </c>
      <c r="D14" s="37">
        <v>1</v>
      </c>
      <c r="E14" s="34"/>
      <c r="F14" s="32"/>
      <c r="G14" s="34">
        <f>SimpleInvoice[[#This Row],[Qty]]*SimpleInvoice[[#This Row],[Unit price
EGP]]</f>
        <v>0</v>
      </c>
      <c r="H14" s="38"/>
      <c r="I14" s="51"/>
      <c r="J14" s="54"/>
    </row>
    <row r="15" spans="2:13" ht="26.15" customHeight="1" x14ac:dyDescent="0.35">
      <c r="B15" s="46">
        <v>2</v>
      </c>
      <c r="C15" s="33" t="s">
        <v>34</v>
      </c>
      <c r="D15" s="37">
        <v>1</v>
      </c>
      <c r="E15" s="34"/>
      <c r="F15" s="32"/>
      <c r="G15" s="47">
        <f>SimpleInvoice[[#This Row],[Qty]]*SimpleInvoice[[#This Row],[Unit price
EGP]]</f>
        <v>0</v>
      </c>
      <c r="H15" s="38"/>
      <c r="I15" s="51"/>
      <c r="J15" s="54"/>
    </row>
    <row r="16" spans="2:13" ht="26.15" customHeight="1" x14ac:dyDescent="0.35">
      <c r="B16" s="46">
        <v>2</v>
      </c>
      <c r="C16" s="33" t="s">
        <v>35</v>
      </c>
      <c r="D16" s="37">
        <v>1</v>
      </c>
      <c r="E16" s="34"/>
      <c r="F16" s="32"/>
      <c r="G16" s="47">
        <f>SimpleInvoice[[#This Row],[Qty]]*SimpleInvoice[[#This Row],[Unit price
EGP]]</f>
        <v>0</v>
      </c>
      <c r="H16" s="38"/>
      <c r="I16" s="51"/>
      <c r="J16" s="54"/>
    </row>
    <row r="17" spans="2:10" ht="26.15" customHeight="1" x14ac:dyDescent="0.35">
      <c r="B17" s="36">
        <v>3</v>
      </c>
      <c r="C17" s="33" t="s">
        <v>23</v>
      </c>
      <c r="D17" s="37">
        <v>1</v>
      </c>
      <c r="E17" s="34"/>
      <c r="F17" s="32"/>
      <c r="G17" s="34">
        <f>SimpleInvoice[[#This Row],[Qty]]*SimpleInvoice[[#This Row],[Unit price
EGP]]</f>
        <v>0</v>
      </c>
      <c r="H17" s="67"/>
      <c r="I17" s="51"/>
      <c r="J17" s="54"/>
    </row>
    <row r="18" spans="2:10" ht="26.15" customHeight="1" x14ac:dyDescent="0.35">
      <c r="B18" s="46">
        <v>4</v>
      </c>
      <c r="C18" s="33" t="s">
        <v>26</v>
      </c>
      <c r="D18" s="37">
        <v>1</v>
      </c>
      <c r="E18" s="34"/>
      <c r="F18" s="32"/>
      <c r="G18" s="47">
        <f>SimpleInvoice[[#This Row],[Qty]]*SimpleInvoice[[#This Row],[Unit price
EGP]]</f>
        <v>0</v>
      </c>
      <c r="H18" s="67"/>
      <c r="I18" s="51"/>
      <c r="J18" s="54"/>
    </row>
    <row r="19" spans="2:10" ht="26.15" customHeight="1" x14ac:dyDescent="0.35">
      <c r="B19" s="36">
        <v>5</v>
      </c>
      <c r="C19" s="33" t="s">
        <v>20</v>
      </c>
      <c r="D19" s="37">
        <v>1</v>
      </c>
      <c r="E19" s="34"/>
      <c r="F19" s="32"/>
      <c r="G19" s="34">
        <f>SimpleInvoice[[#This Row],[Qty]]*SimpleInvoice[[#This Row],[Unit price
EGP]]</f>
        <v>0</v>
      </c>
      <c r="H19" s="38"/>
      <c r="I19" s="51"/>
      <c r="J19" s="54"/>
    </row>
    <row r="20" spans="2:10" ht="26.15" customHeight="1" x14ac:dyDescent="0.35">
      <c r="B20" s="46">
        <v>6</v>
      </c>
      <c r="C20" s="33" t="s">
        <v>36</v>
      </c>
      <c r="D20" s="37">
        <v>1</v>
      </c>
      <c r="E20" s="34">
        <v>0</v>
      </c>
      <c r="F20" s="32"/>
      <c r="G20" s="47">
        <v>0</v>
      </c>
      <c r="H20" s="55"/>
      <c r="I20" s="51"/>
      <c r="J20" s="54"/>
    </row>
    <row r="21" spans="2:10" ht="26.15" customHeight="1" x14ac:dyDescent="0.35">
      <c r="B21" s="26"/>
      <c r="C21" s="26"/>
      <c r="E21" s="25"/>
      <c r="F21" s="39" t="s">
        <v>2</v>
      </c>
      <c r="G21" s="52">
        <f>SUM(SimpleInvoice[Total Price 
(EGP)])</f>
        <v>0</v>
      </c>
      <c r="H21" s="62">
        <f>SUM(H14:H19)</f>
        <v>0</v>
      </c>
      <c r="I21" s="64"/>
      <c r="J21" s="63"/>
    </row>
    <row r="22" spans="2:10" ht="26.15" customHeight="1" x14ac:dyDescent="0.35">
      <c r="B22" s="26"/>
      <c r="C22" s="26"/>
      <c r="D22" s="25"/>
      <c r="E22" s="25"/>
      <c r="F22" s="31" t="s">
        <v>3</v>
      </c>
      <c r="G22" s="28">
        <v>0</v>
      </c>
      <c r="H22" s="66">
        <v>0</v>
      </c>
      <c r="I22" s="25"/>
    </row>
    <row r="23" spans="2:10" ht="26.15" customHeight="1" x14ac:dyDescent="0.35">
      <c r="B23" s="26"/>
      <c r="C23" s="26"/>
      <c r="D23" s="25"/>
      <c r="E23" s="25"/>
      <c r="F23" s="27" t="s">
        <v>4</v>
      </c>
      <c r="G23" s="65">
        <f>IFERROR(G21*G22,"")</f>
        <v>0</v>
      </c>
      <c r="H23" s="40">
        <f>IFERROR(H21*H22,"")</f>
        <v>0</v>
      </c>
      <c r="I23" s="25"/>
    </row>
    <row r="24" spans="2:10" ht="15" customHeight="1" x14ac:dyDescent="0.35">
      <c r="B24" s="29"/>
      <c r="C24" s="29"/>
      <c r="D24" s="29"/>
      <c r="E24" s="30"/>
      <c r="F24" s="49" t="s">
        <v>1</v>
      </c>
      <c r="G24" s="40"/>
      <c r="H24" s="48"/>
      <c r="I24" s="30"/>
    </row>
    <row r="25" spans="2:10" ht="15" customHeight="1" x14ac:dyDescent="0.35">
      <c r="B25" s="74" t="s">
        <v>28</v>
      </c>
      <c r="C25" s="75"/>
      <c r="D25" s="75"/>
      <c r="E25" s="75"/>
      <c r="F25" s="76"/>
      <c r="G25" s="42">
        <f>SUM(G21:G23)-G24</f>
        <v>0</v>
      </c>
    </row>
    <row r="26" spans="2:10" ht="15.9" customHeight="1" x14ac:dyDescent="0.35">
      <c r="B26" s="26"/>
      <c r="C26" s="44" t="s">
        <v>27</v>
      </c>
      <c r="D26" s="45"/>
      <c r="E26" s="45"/>
      <c r="F26" s="45"/>
      <c r="G26" s="58"/>
      <c r="H26" s="56">
        <f>SUM(F17:F20)</f>
        <v>0</v>
      </c>
    </row>
    <row r="27" spans="2:10" ht="15.9" customHeight="1" x14ac:dyDescent="0.35">
      <c r="B27" s="25"/>
      <c r="C27" s="59" t="s">
        <v>30</v>
      </c>
      <c r="D27" s="59"/>
      <c r="E27" s="59"/>
      <c r="F27" s="59"/>
      <c r="G27" s="59"/>
      <c r="H27" s="57"/>
      <c r="I27" s="61"/>
      <c r="J27" s="51">
        <f>SUM(J21:J23)-J24</f>
        <v>0</v>
      </c>
    </row>
    <row r="28" spans="2:10" ht="33.9" customHeight="1" x14ac:dyDescent="0.35">
      <c r="B28" s="69"/>
      <c r="C28" s="70"/>
      <c r="D28" s="70"/>
      <c r="E28" s="70"/>
      <c r="F28" s="70"/>
      <c r="G28" s="70"/>
      <c r="H28" s="60"/>
      <c r="I28" s="60"/>
    </row>
    <row r="29" spans="2:10" ht="33.9" customHeight="1" x14ac:dyDescent="0.35">
      <c r="B29" s="68"/>
      <c r="C29" s="68"/>
      <c r="D29" s="68"/>
      <c r="E29" s="68"/>
      <c r="F29" s="68"/>
      <c r="G29" s="68"/>
    </row>
  </sheetData>
  <sheetProtection formatCells="0" formatColumns="0" formatRows="0" selectLockedCells="1" sort="0"/>
  <mergeCells count="6">
    <mergeCell ref="B29:G29"/>
    <mergeCell ref="B28:G28"/>
    <mergeCell ref="B2:E6"/>
    <mergeCell ref="G7:M7"/>
    <mergeCell ref="G10:L10"/>
    <mergeCell ref="B25:F25"/>
  </mergeCells>
  <phoneticPr fontId="1" type="noConversion"/>
  <dataValidations xWindow="1419" yWindow="396" count="34">
    <dataValidation allowBlank="1" showInputMessage="1" showErrorMessage="1" prompt="The total amount is automatically calculated in this cell" sqref="H22:H23 G25 H26:H27" xr:uid="{00000000-0002-0000-0000-000000000000}"/>
    <dataValidation allowBlank="1" showInputMessage="1" showErrorMessage="1" prompt="Price is auto calculated under this heading" sqref="G13:H13" xr:uid="{00000000-0002-0000-0000-000006000000}"/>
    <dataValidation allowBlank="1" showInputMessage="1" showErrorMessage="1" prompt="Enter Discount in this column under this heading" sqref="F13" xr:uid="{00000000-0002-0000-0000-000007000000}"/>
    <dataValidation allowBlank="1" showInputMessage="1" showErrorMessage="1" prompt="Enter Unit Price in this column under this heading" sqref="E13 I13:J13" xr:uid="{00000000-0002-0000-0000-000008000000}"/>
    <dataValidation allowBlank="1" showInputMessage="1" showErrorMessage="1" prompt="Enter Quantity in this column under this heading" sqref="D13" xr:uid="{00000000-0002-0000-0000-000009000000}"/>
    <dataValidation allowBlank="1" showInputMessage="1" showErrorMessage="1" prompt="Enter Description in this column under this heading" sqref="C13" xr:uid="{00000000-0002-0000-0000-00000A000000}"/>
    <dataValidation allowBlank="1" showInputMessage="1" showErrorMessage="1" prompt="Enter Item number in this column under this heading" sqref="B13" xr:uid="{00000000-0002-0000-0000-00000B000000}"/>
    <dataValidation allowBlank="1" showInputMessage="1" showErrorMessage="1" prompt="Enter customer fax number in the cell at right" sqref="F11" xr:uid="{00000000-0002-0000-0000-00000E000000}"/>
    <dataValidation allowBlank="1" showInputMessage="1" showErrorMessage="1" prompt="Enter customer fax number in this cell" sqref="G11" xr:uid="{00000000-0002-0000-0000-00000F000000}"/>
    <dataValidation allowBlank="1" showInputMessage="1" showErrorMessage="1" prompt="Enter company phone number in this cell" sqref="B9" xr:uid="{00000000-0002-0000-0000-000011000000}"/>
    <dataValidation allowBlank="1" showInputMessage="1" showErrorMessage="1" prompt="Enter company email address in this cell" sqref="B11" xr:uid="{00000000-0002-0000-0000-000012000000}"/>
    <dataValidation allowBlank="1" showInputMessage="1" showErrorMessage="1" prompt="Create a simple invoice in this worksheet" sqref="A1" xr:uid="{00000000-0002-0000-0000-000018000000}"/>
    <dataValidation allowBlank="1" showInputMessage="1" showErrorMessage="1" prompt="Enter invoice date in this cell" sqref="G4" xr:uid="{00000000-0002-0000-0000-00001D000000}"/>
    <dataValidation allowBlank="1" showInputMessage="1" showErrorMessage="1" prompt="Enter invoice # in the cell at right" sqref="F3" xr:uid="{83A624A0-C412-42C5-B209-AF4807490BE9}"/>
    <dataValidation allowBlank="1" showInputMessage="1" showErrorMessage="1" prompt="Enter invoice # in this cell" sqref="G3" xr:uid="{F621686B-821D-410B-9321-DAD7BEDBAC49}"/>
    <dataValidation allowBlank="1" showInputMessage="1" showErrorMessage="1" prompt="Enter job type in the cell at right" sqref="F5" xr:uid="{35BF3B7D-2E6B-4A9D-8F8F-F083E5880A3C}"/>
    <dataValidation allowBlank="1" showInputMessage="1" showErrorMessage="1" prompt="Enter job type in this cell" sqref="G5" xr:uid="{575431E7-7DC3-4301-B07A-F199F3654CAA}"/>
    <dataValidation allowBlank="1" showInputMessage="1" showErrorMessage="1" prompt="Enter your company street address in this cell" sqref="B7" xr:uid="{82E06D46-C535-4215-ABE2-50F137A2D4A6}"/>
    <dataValidation allowBlank="1" showInputMessage="1" showErrorMessage="1" prompt="Enter invoice date in the cell at right" sqref="F4" xr:uid="{B3062644-4D1F-4F79-AC3C-010ED2EB5990}"/>
    <dataValidation allowBlank="1" showInputMessage="1" showErrorMessage="1" prompt="Enter company's city, state, and ZIP in this cell" sqref="B8" xr:uid="{18D822BA-1A05-41AF-B262-8D5E95B0B335}"/>
    <dataValidation allowBlank="1" showInputMessage="1" showErrorMessage="1" prompt="Enter company fax number in this cell" sqref="B10" xr:uid="{71BB0314-38F3-4163-AAC1-3B2187A87818}"/>
    <dataValidation allowBlank="1" showInputMessage="1" showErrorMessage="1" prompt="Enter customer name in the cell at right" sqref="F7" xr:uid="{4CF19155-F4AD-4522-BFEA-753FADFA88F2}"/>
    <dataValidation allowBlank="1" showInputMessage="1" showErrorMessage="1" prompt="Enter customer name in this cell" sqref="G7" xr:uid="{64F47341-C48E-4FA0-85F3-B2E61C2DF71A}"/>
    <dataValidation allowBlank="1" showInputMessage="1" showErrorMessage="1" prompt="Enter customer address in the cell at right" sqref="F8" xr:uid="{0E26DF2A-779B-464B-9E11-AB344ECBCC45}"/>
    <dataValidation allowBlank="1" showInputMessage="1" showErrorMessage="1" prompt="Enter customer street address in this cell" sqref="G8" xr:uid="{44D7B560-86A6-416B-93FB-02CCC4D45216}"/>
    <dataValidation allowBlank="1" showInputMessage="1" showErrorMessage="1" prompt="Enter customer phone number in the cell at right" sqref="F10" xr:uid="{B5FAD08C-605F-4F22-B83D-E2A4AF3A5206}"/>
    <dataValidation allowBlank="1" showInputMessage="1" showErrorMessage="1" prompt="Enter customer phone number in this cell" sqref="G10" xr:uid="{C81B61FA-185A-40AB-B138-AD6125ACA2B9}"/>
    <dataValidation allowBlank="1" showInputMessage="1" showErrorMessage="1" prompt="Enter customer city, state, and ZIP in this cell" sqref="G9" xr:uid="{0837AB85-7C6D-4219-95BE-21B09C16AEEB}"/>
    <dataValidation allowBlank="1" showInputMessage="1" showErrorMessage="1" prompt="Update this cell with your company's email address and website" sqref="B29:G29 I29" xr:uid="{B4B0F608-2AB4-49B8-95A2-7208F3B9FDCF}"/>
    <dataValidation allowBlank="1" showInputMessage="1" showErrorMessage="1" prompt="Replace the number of days in which the balance is due and service charge percent per month in this cell" sqref="B28:G28 I28" xr:uid="{A2CA9311-E750-4E5F-9BEF-8636778AB2B4}"/>
    <dataValidation allowBlank="1" showInputMessage="1" showErrorMessage="1" prompt="Enter the deposit amount, if any" sqref="G24" xr:uid="{00000000-0002-0000-0000-000001000000}"/>
    <dataValidation allowBlank="1" showInputMessage="1" showErrorMessage="1" prompt="The sales tax is automatically calculated in this cell" sqref="G23 H23:H24" xr:uid="{00000000-0002-0000-0000-000003000000}"/>
    <dataValidation allowBlank="1" showInputMessage="1" showErrorMessage="1" prompt="Enter tax rate in this cell" sqref="G22:H22" xr:uid="{00000000-0002-0000-0000-000004000000}"/>
    <dataValidation allowBlank="1" showInputMessage="1" showErrorMessage="1" prompt="The subtotal amount is automatically calculated in this cell" sqref="G21:H21" xr:uid="{00000000-0002-0000-0000-000005000000}"/>
  </dataValidations>
  <hyperlinks>
    <hyperlink ref="B11" r:id="rId1" xr:uid="{4B8369DD-8A98-B940-AC2E-E2FB20562035}"/>
  </hyperlinks>
  <printOptions horizontalCentered="1"/>
  <pageMargins left="0.25" right="0.25" top="0.75" bottom="0.75" header="0.3" footer="0.3"/>
  <pageSetup scale="49" fitToHeight="0" orientation="portrait" horizontalDpi="300" verticalDpi="300" r:id="rId2"/>
  <headerFooter differentFirst="1" alignWithMargins="0">
    <oddFooter>Page &amp;P of &amp;N</oddFooter>
  </headerFooter>
  <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339199-89B4-4D89-B804-0058AC96CA4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3FF0F6D8-810E-4212-9EE6-9586F0C08C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5C5DE4-DDC2-49C6-A326-5A02D73C4C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TM03987161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2023-09-06T10:30:21Z</dcterms:created>
  <dcterms:modified xsi:type="dcterms:W3CDTF">2026-05-24T14:37:53Z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